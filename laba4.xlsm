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-108" yWindow="-108" windowWidth="23256" windowHeight="12576"/>
  </bookViews>
  <sheets>
    <sheet name="Лист1" sheetId="1" r:id="rId1"/>
    <sheet name="Лист2" sheetId="2" r:id="rId2"/>
    <sheet name="Лист3" sheetId="3" r:id="rId3"/>
  </sheet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G3" i="1"/>
  <c r="H3" i="1"/>
  <c r="I3" i="1"/>
  <c r="F4" i="1"/>
  <c r="G4" i="1"/>
  <c r="H4" i="1"/>
  <c r="I4" i="1"/>
  <c r="F5" i="1"/>
  <c r="G5" i="1"/>
  <c r="H5" i="1"/>
  <c r="I5" i="1"/>
  <c r="F6" i="1"/>
  <c r="G6" i="1"/>
  <c r="H6" i="1"/>
  <c r="I6" i="1"/>
  <c r="F7" i="1"/>
  <c r="G7" i="1"/>
  <c r="H7" i="1"/>
  <c r="I7" i="1"/>
  <c r="F8" i="1"/>
  <c r="G8" i="1"/>
  <c r="H8" i="1"/>
  <c r="I8" i="1"/>
  <c r="F9" i="1"/>
  <c r="G9" i="1"/>
  <c r="H9" i="1"/>
  <c r="I9" i="1"/>
  <c r="F10" i="1"/>
  <c r="G10" i="1"/>
  <c r="H10" i="1"/>
  <c r="I10" i="1"/>
</calcChain>
</file>

<file path=xl/sharedStrings.xml><?xml version="1.0" encoding="utf-8"?>
<sst xmlns="http://schemas.openxmlformats.org/spreadsheetml/2006/main" count="6" uniqueCount="6">
  <si>
    <t>Вариант</t>
  </si>
  <si>
    <t>a</t>
  </si>
  <si>
    <t>b</t>
  </si>
  <si>
    <t>Исходный массив</t>
  </si>
  <si>
    <t xml:space="preserve">Сортировка по возрастанию </t>
  </si>
  <si>
    <t>Сортировка по убыванию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</si>
</sst>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0" borderId="0" xfId="0" applyAlignment="1">
      <alignment horizontal="left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6</xdr:row>
          <xdr:rowOff>38100</xdr:rowOff>
        </xdr:from>
        <xdr:to>
          <xdr:col>4</xdr:col>
          <xdr:colOff>274320</xdr:colOff>
          <xdr:row>7</xdr:row>
          <xdr:rowOff>198120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Сортировать по возрастанию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3</xdr:row>
          <xdr:rowOff>190500</xdr:rowOff>
        </xdr:from>
        <xdr:to>
          <xdr:col>4</xdr:col>
          <xdr:colOff>251460</xdr:colOff>
          <xdr:row>5</xdr:row>
          <xdr:rowOff>182880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Сортировать по убыванию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N52"/>
  <sheetViews>
    <sheetView tabSelected="1" zoomScaleNormal="100" workbookViewId="0">
      <selection activeCell="E13" sqref="E13"/>
    </sheetView>
  </sheetViews>
  <sheetFormatPr defaultRowHeight="14.4" x14ac:dyDescent="0.3"/>
  <cols>
    <col min="2" max="2" width="10.5546875" bestFit="1" customWidth="1"/>
    <col min="6" max="6" width="9.109375" customWidth="1"/>
  </cols>
  <sheetData>
    <row r="1" spans="2:14" ht="15" thickBot="1" x14ac:dyDescent="0.35">
      <c r="B1" s="1"/>
      <c r="C1" s="1" t="s">
        <v>1</v>
      </c>
      <c r="D1" s="1" t="s">
        <v>2</v>
      </c>
    </row>
    <row r="2" spans="2:14" ht="15" thickBot="1" x14ac:dyDescent="0.35">
      <c r="B2" s="1" t="s">
        <v>0</v>
      </c>
      <c r="C2" s="3">
        <v>20</v>
      </c>
      <c r="D2" s="4">
        <v>26</v>
      </c>
      <c r="F2" s="10" t="s">
        <v>3</v>
      </c>
      <c r="G2" s="11"/>
      <c r="H2" s="11"/>
      <c r="I2" s="12"/>
      <c r="K2" s="10" t="s">
        <v>4</v>
      </c>
      <c r="L2" s="11"/>
      <c r="M2" s="11"/>
      <c r="N2" s="12"/>
    </row>
    <row r="3" spans="2:14" ht="18.600000000000001" thickBot="1" x14ac:dyDescent="0.35">
      <c r="D3" s="1"/>
      <c r="F3" s="6">
        <f>38+C2</f>
        <v>58</v>
      </c>
      <c r="G3" s="7">
        <f>13+C2</f>
        <v>33</v>
      </c>
      <c r="H3" s="7">
        <f>7+C2</f>
        <v>27</v>
      </c>
      <c r="I3" s="7">
        <f>28+C2</f>
        <v>48</v>
      </c>
      <c r="K3" s="6">
        <v>-8</v>
      </c>
      <c r="L3" s="7">
        <v>7</v>
      </c>
      <c r="M3" s="7">
        <v>13</v>
      </c>
      <c r="N3" s="7">
        <v>14</v>
      </c>
    </row>
    <row r="4" spans="2:14" ht="18.600000000000001" thickBot="1" x14ac:dyDescent="0.35">
      <c r="C4" s="1"/>
      <c r="D4" s="1"/>
      <c r="E4" s="1"/>
      <c r="F4" s="8">
        <f>6+D2</f>
        <v>32</v>
      </c>
      <c r="G4" s="9">
        <f>4+D2</f>
        <v>30</v>
      </c>
      <c r="H4" s="9">
        <f>-34+D2</f>
        <v>-8</v>
      </c>
      <c r="I4" s="9">
        <f>41+D2</f>
        <v>67</v>
      </c>
      <c r="J4" s="1"/>
      <c r="K4" s="8">
        <v>16</v>
      </c>
      <c r="L4" s="9">
        <v>19</v>
      </c>
      <c r="M4" s="9">
        <v>20</v>
      </c>
      <c r="N4" s="9">
        <v>21</v>
      </c>
    </row>
    <row r="5" spans="2:14" ht="18.600000000000001" thickBot="1" x14ac:dyDescent="0.35">
      <c r="B5" s="2"/>
      <c r="C5" s="1"/>
      <c r="D5" s="1"/>
      <c r="F5" s="8">
        <f>-1+C2</f>
        <v>19</v>
      </c>
      <c r="G5" s="9">
        <f>15+C2</f>
        <v>35</v>
      </c>
      <c r="H5" s="9">
        <f>16+C2</f>
        <v>36</v>
      </c>
      <c r="I5" s="9">
        <f>10+C2</f>
        <v>30</v>
      </c>
      <c r="K5" s="8">
        <v>27</v>
      </c>
      <c r="L5" s="9">
        <v>28</v>
      </c>
      <c r="M5" s="9">
        <v>30</v>
      </c>
      <c r="N5" s="9">
        <v>30</v>
      </c>
    </row>
    <row r="6" spans="2:14" ht="18.600000000000001" thickBot="1" x14ac:dyDescent="0.35">
      <c r="F6" s="8">
        <f>5+D2</f>
        <v>31</v>
      </c>
      <c r="G6" s="9">
        <f>15+D2</f>
        <v>41</v>
      </c>
      <c r="H6" s="9">
        <f>-5+D2</f>
        <v>21</v>
      </c>
      <c r="I6" s="9">
        <f>9+D2</f>
        <v>35</v>
      </c>
      <c r="K6" s="8">
        <v>31</v>
      </c>
      <c r="L6" s="9">
        <v>32</v>
      </c>
      <c r="M6" s="9">
        <v>33</v>
      </c>
      <c r="N6" s="9">
        <v>34</v>
      </c>
    </row>
    <row r="7" spans="2:14" ht="18.600000000000001" thickBot="1" x14ac:dyDescent="0.35">
      <c r="B7" s="5"/>
      <c r="C7" s="1"/>
      <c r="F7" s="8">
        <f>22+C2</f>
        <v>42</v>
      </c>
      <c r="G7" s="9">
        <f>14+C2</f>
        <v>34</v>
      </c>
      <c r="H7" s="9">
        <f>31+C2</f>
        <v>51</v>
      </c>
      <c r="I7" s="9">
        <f>-13+C2</f>
        <v>7</v>
      </c>
      <c r="K7" s="8">
        <v>34</v>
      </c>
      <c r="L7" s="9">
        <v>35</v>
      </c>
      <c r="M7" s="9">
        <v>35</v>
      </c>
      <c r="N7" s="9">
        <v>36</v>
      </c>
    </row>
    <row r="8" spans="2:14" ht="18.600000000000001" thickBot="1" x14ac:dyDescent="0.35">
      <c r="B8" s="5"/>
      <c r="C8" s="1"/>
      <c r="F8" s="8">
        <f>-12+D2</f>
        <v>14</v>
      </c>
      <c r="G8" s="9">
        <f>12+D2</f>
        <v>38</v>
      </c>
      <c r="H8" s="9">
        <f>35+D2</f>
        <v>61</v>
      </c>
      <c r="I8" s="9">
        <f>8+D2</f>
        <v>34</v>
      </c>
      <c r="K8" s="8">
        <v>37</v>
      </c>
      <c r="L8" s="9">
        <v>38</v>
      </c>
      <c r="M8" s="9">
        <v>41</v>
      </c>
      <c r="N8" s="9">
        <v>42</v>
      </c>
    </row>
    <row r="9" spans="2:14" ht="18.600000000000001" thickBot="1" x14ac:dyDescent="0.35">
      <c r="B9" s="5"/>
      <c r="C9" s="1"/>
      <c r="F9" s="8">
        <f>23+C2</f>
        <v>43</v>
      </c>
      <c r="G9" s="9">
        <f>0+C2</f>
        <v>20</v>
      </c>
      <c r="H9" s="9">
        <f>-7+C2</f>
        <v>13</v>
      </c>
      <c r="I9" s="9">
        <f>25+C2</f>
        <v>45</v>
      </c>
      <c r="K9" s="8">
        <v>43</v>
      </c>
      <c r="L9" s="9">
        <v>45</v>
      </c>
      <c r="M9" s="9">
        <v>48</v>
      </c>
      <c r="N9" s="9">
        <v>51</v>
      </c>
    </row>
    <row r="10" spans="2:14" ht="18.600000000000001" thickBot="1" x14ac:dyDescent="0.35">
      <c r="F10" s="8">
        <f>-10+D2</f>
        <v>16</v>
      </c>
      <c r="G10" s="9">
        <f>2+D2</f>
        <v>28</v>
      </c>
      <c r="H10" s="9">
        <f>11+D2</f>
        <v>37</v>
      </c>
      <c r="I10" s="9">
        <f>42+D2</f>
        <v>68</v>
      </c>
      <c r="K10" s="8">
        <v>58</v>
      </c>
      <c r="L10" s="9">
        <v>61</v>
      </c>
      <c r="M10" s="9">
        <v>67</v>
      </c>
      <c r="N10" s="9">
        <v>68</v>
      </c>
    </row>
    <row r="11" spans="2:14" ht="15" thickBot="1" x14ac:dyDescent="0.35">
      <c r="B11" s="2"/>
      <c r="C11" s="1"/>
    </row>
    <row r="12" spans="2:14" ht="15" thickBot="1" x14ac:dyDescent="0.35">
      <c r="K12" s="10" t="s">
        <v>5</v>
      </c>
      <c r="L12" s="11"/>
      <c r="M12" s="11"/>
      <c r="N12" s="12"/>
    </row>
    <row r="13" spans="2:14" ht="18.600000000000001" thickBot="1" x14ac:dyDescent="0.35">
      <c r="K13" s="6">
        <v>68</v>
      </c>
      <c r="L13" s="7">
        <v>67</v>
      </c>
      <c r="M13" s="7">
        <v>61</v>
      </c>
      <c r="N13" s="7">
        <v>58</v>
      </c>
    </row>
    <row r="14" spans="2:14" ht="18.600000000000001" thickBot="1" x14ac:dyDescent="0.35">
      <c r="K14" s="8">
        <v>51</v>
      </c>
      <c r="L14" s="9">
        <v>48</v>
      </c>
      <c r="M14" s="9">
        <v>45</v>
      </c>
      <c r="N14" s="9">
        <v>43</v>
      </c>
    </row>
    <row r="15" spans="2:14" ht="18.600000000000001" thickBot="1" x14ac:dyDescent="0.35">
      <c r="K15" s="8">
        <v>42</v>
      </c>
      <c r="L15" s="9">
        <v>41</v>
      </c>
      <c r="M15" s="9">
        <v>38</v>
      </c>
      <c r="N15" s="9">
        <v>37</v>
      </c>
    </row>
    <row r="16" spans="2:14" ht="18.600000000000001" thickBot="1" x14ac:dyDescent="0.35">
      <c r="K16" s="8">
        <v>36</v>
      </c>
      <c r="L16" s="9">
        <v>35</v>
      </c>
      <c r="M16" s="9">
        <v>35</v>
      </c>
      <c r="N16" s="9">
        <v>34</v>
      </c>
    </row>
    <row r="17" spans="11:14" ht="18.600000000000001" thickBot="1" x14ac:dyDescent="0.35">
      <c r="K17" s="8">
        <v>34</v>
      </c>
      <c r="L17" s="9">
        <v>33</v>
      </c>
      <c r="M17" s="9">
        <v>32</v>
      </c>
      <c r="N17" s="9">
        <v>31</v>
      </c>
    </row>
    <row r="18" spans="11:14" ht="18.600000000000001" thickBot="1" x14ac:dyDescent="0.35">
      <c r="K18" s="8">
        <v>30</v>
      </c>
      <c r="L18" s="9">
        <v>30</v>
      </c>
      <c r="M18" s="9">
        <v>28</v>
      </c>
      <c r="N18" s="9">
        <v>27</v>
      </c>
    </row>
    <row r="19" spans="11:14" ht="18.600000000000001" thickBot="1" x14ac:dyDescent="0.35">
      <c r="K19" s="8">
        <v>21</v>
      </c>
      <c r="L19" s="9">
        <v>20</v>
      </c>
      <c r="M19" s="9">
        <v>19</v>
      </c>
      <c r="N19" s="9">
        <v>16</v>
      </c>
    </row>
    <row r="20" spans="11:14" ht="18.600000000000001" thickBot="1" x14ac:dyDescent="0.35">
      <c r="K20" s="8">
        <v>14</v>
      </c>
      <c r="L20" s="9">
        <v>13</v>
      </c>
      <c r="M20" s="9">
        <v>7</v>
      </c>
      <c r="N20" s="9">
        <v>-8</v>
      </c>
    </row>
    <row r="50" spans="3:3" x14ac:dyDescent="0.3">
      <c r="C50" s="1"/>
    </row>
    <row r="51" spans="3:3" x14ac:dyDescent="0.3">
      <c r="C51" s="1"/>
    </row>
    <row r="52" spans="3:3" x14ac:dyDescent="0.3">
      <c r="C52" s="1"/>
    </row>
  </sheetData>
  <mergeCells count="3">
    <mergeCell ref="F2:I2"/>
    <mergeCell ref="K2:N2"/>
    <mergeCell ref="K12:N12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sc">
                <anchor moveWithCells="1" sizeWithCells="1">
                  <from>
                    <xdr:col>0</xdr:col>
                    <xdr:colOff>411480</xdr:colOff>
                    <xdr:row>6</xdr:row>
                    <xdr:rowOff>38100</xdr:rowOff>
                  </from>
                  <to>
                    <xdr:col>4</xdr:col>
                    <xdr:colOff>274320</xdr:colOff>
                    <xdr:row>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Desc">
                <anchor moveWithCells="1" sizeWithCells="1">
                  <from>
                    <xdr:col>0</xdr:col>
                    <xdr:colOff>381000</xdr:colOff>
                    <xdr:row>3</xdr:row>
                    <xdr:rowOff>190500</xdr:rowOff>
                  </from>
                  <to>
                    <xdr:col>4</xdr:col>
                    <xdr:colOff>251460</xdr:colOff>
                    <xdr:row>5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Reanimator Extreme Edition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Евгений Петрушин</cp:lastModifiedBy>
  <dcterms:created xsi:type="dcterms:W3CDTF">2024-02-12T19:46:13Z</dcterms:created>
  <dcterms:modified xsi:type="dcterms:W3CDTF">2024-02-26T20:53:25Z</dcterms:modified>
</cp:coreProperties>
</file>